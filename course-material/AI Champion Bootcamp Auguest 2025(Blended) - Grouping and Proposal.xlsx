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ichatspedu.sharepoint.com/teams/AIChampionsBootcampBlended-Aug2025Run1-Fri2pmto6pm_From_M365-SeminarandForum/Shared Documents/"/>
    </mc:Choice>
  </mc:AlternateContent>
  <xr:revisionPtr revIDLastSave="124" documentId="13_ncr:1_{E029F1EF-EB86-4C6C-86E1-FCE2EFDAF136}" xr6:coauthVersionLast="47" xr6:coauthVersionMax="47" xr10:uidLastSave="{7BFB0886-8123-41B4-890F-0F910915532B}"/>
  <bookViews>
    <workbookView xWindow="-110" yWindow="-110" windowWidth="19420" windowHeight="11500" firstSheet="1" activeTab="1" xr2:uid="{00000000-000D-0000-FFFF-FFFF00000000}"/>
  </bookViews>
  <sheets>
    <sheet name="Summary" sheetId="5" r:id="rId1"/>
    <sheet name="Run1_Groups" sheetId="1" r:id="rId2"/>
    <sheet name="Run1_Learners" sheetId="2"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5" l="1"/>
  <c r="C2" i="5"/>
  <c r="B2" i="5"/>
  <c r="C7" i="5"/>
  <c r="B7" i="5"/>
  <c r="M17" i="1"/>
  <c r="R17" i="1" s="1"/>
  <c r="M16" i="1"/>
  <c r="R16" i="1" s="1"/>
  <c r="M15" i="1"/>
  <c r="R15" i="1" s="1"/>
  <c r="M14" i="1"/>
  <c r="R14" i="1" s="1"/>
  <c r="M13" i="1"/>
  <c r="R13" i="1" s="1"/>
  <c r="M12" i="1"/>
  <c r="R12" i="1" s="1"/>
  <c r="M11" i="1"/>
  <c r="R11" i="1" s="1"/>
  <c r="M10" i="1"/>
  <c r="R10" i="1" s="1"/>
  <c r="M9" i="1"/>
  <c r="R9" i="1" s="1"/>
  <c r="M8" i="1"/>
  <c r="R8" i="1" s="1"/>
  <c r="M7" i="1"/>
  <c r="R7" i="1" s="1"/>
  <c r="M6" i="1"/>
  <c r="R6" i="1" s="1"/>
  <c r="M5" i="1"/>
  <c r="R5" i="1" s="1"/>
  <c r="M4" i="1"/>
  <c r="R4" i="1" s="1"/>
  <c r="M3" i="1"/>
  <c r="R3" i="1" s="1"/>
  <c r="R2" i="1"/>
  <c r="C8" i="5"/>
  <c r="B8" i="5"/>
  <c r="A3" i="1"/>
  <c r="M20" i="1" l="1"/>
  <c r="D2" i="5"/>
  <c r="D7" i="5"/>
  <c r="B5" i="5"/>
  <c r="D5" i="5" s="1"/>
  <c r="E5" i="5" s="1"/>
  <c r="F5" i="2"/>
  <c r="F4" i="2"/>
  <c r="F3" i="2"/>
  <c r="F2" i="2"/>
  <c r="G5" i="2"/>
  <c r="G4" i="2"/>
  <c r="G3" i="2"/>
  <c r="G2" i="2"/>
  <c r="G6" i="2" s="1"/>
  <c r="A4" i="1"/>
  <c r="A5" i="1" s="1"/>
  <c r="A6" i="1" s="1"/>
  <c r="A7" i="1" s="1"/>
  <c r="A8" i="1" s="1"/>
  <c r="A9" i="1" s="1"/>
  <c r="A10" i="1" s="1"/>
  <c r="A11" i="1" s="1"/>
  <c r="A12" i="1" s="1"/>
  <c r="A13" i="1" s="1"/>
  <c r="A14" i="1" s="1"/>
  <c r="A15" i="1" s="1"/>
  <c r="A16" i="1" s="1"/>
  <c r="A17" i="1" s="1"/>
  <c r="H5" i="2"/>
  <c r="H4" i="2"/>
  <c r="H3" i="2"/>
  <c r="H2" i="2"/>
  <c r="D8" i="5"/>
  <c r="J3" i="2" l="1"/>
  <c r="J4" i="2"/>
  <c r="B6" i="5"/>
  <c r="J5" i="2"/>
  <c r="H6" i="2"/>
  <c r="B4" i="5" s="1"/>
  <c r="C4" i="5"/>
  <c r="C3" i="5"/>
  <c r="J2" i="2"/>
  <c r="J7" i="2" s="1"/>
  <c r="B3" i="5" s="1"/>
  <c r="D3" i="5" s="1"/>
  <c r="E3" i="5" s="1"/>
  <c r="F6" i="2"/>
  <c r="D4" i="5" l="1"/>
  <c r="E4" i="5" s="1"/>
  <c r="C6" i="5"/>
  <c r="D6" i="5" s="1"/>
  <c r="E7" i="5" l="1"/>
  <c r="E8" i="5"/>
</calcChain>
</file>

<file path=xl/sharedStrings.xml><?xml version="1.0" encoding="utf-8"?>
<sst xmlns="http://schemas.openxmlformats.org/spreadsheetml/2006/main" count="111" uniqueCount="84">
  <si>
    <t>Run 1</t>
  </si>
  <si>
    <t>Run 2</t>
  </si>
  <si>
    <t>Total</t>
  </si>
  <si>
    <t># Students</t>
  </si>
  <si>
    <t># Students ideated</t>
  </si>
  <si>
    <t># Students submitted</t>
  </si>
  <si>
    <t># Graded</t>
  </si>
  <si>
    <t># Groups</t>
  </si>
  <si>
    <t># Groups ideated</t>
  </si>
  <si>
    <t># Groups submitted</t>
  </si>
  <si>
    <t>Member 1 (Leader)</t>
  </si>
  <si>
    <t>Member 1 Email</t>
  </si>
  <si>
    <t>Member 2</t>
  </si>
  <si>
    <t>Member 2 Email</t>
  </si>
  <si>
    <t>Member 3</t>
  </si>
  <si>
    <t>Member 3 Email</t>
  </si>
  <si>
    <t>Member 4</t>
  </si>
  <si>
    <t>Member 4 Email</t>
  </si>
  <si>
    <t>Proposal Idea</t>
  </si>
  <si>
    <t>Idea Description</t>
  </si>
  <si>
    <t>Status</t>
  </si>
  <si>
    <t>#Members</t>
  </si>
  <si>
    <t>Website URL</t>
  </si>
  <si>
    <t>Credentials</t>
  </si>
  <si>
    <t>Launchpad URL</t>
  </si>
  <si>
    <t>Remarks</t>
  </si>
  <si>
    <t>Graded</t>
  </si>
  <si>
    <t>Ivan</t>
  </si>
  <si>
    <t>ivan_chew@tech.gov.sg</t>
  </si>
  <si>
    <t>ChattingCustoms</t>
  </si>
  <si>
    <t>Traders and officer portal
1. Provide common help and advice to novice traders or self service traders on procedure and necessary docs to provide.
2. Portal based on query will determine the types of traders and provide advice accordingly.  For example if this a novice trader or a advanced trader.  When determine the role of the person query, return results accordingly.
e.g Novice trader question: how to import product bought from Taobao? Can I do it myself
e.g.Advance Trader question: What is the HS code for fruits?
4. For officer need to login.  For the chat bot response to query can pull from internet plus rag information on Cusstoms office protocols that are confidential.   Rag information will be fictitious.
5. Portal will assess threat based on query e.g Which HS code need licence for guns</t>
  </si>
  <si>
    <t>Unknown</t>
  </si>
  <si>
    <t>Anna</t>
  </si>
  <si>
    <t>anna_choo@nea.gov.sg</t>
  </si>
  <si>
    <t/>
  </si>
  <si>
    <t>Hybrid OCR + ChatGPT pipeline</t>
  </si>
  <si>
    <t>1) Integrates OCR engine with ChatGPT, 2) Extracted text is then passed into ChatGPT, which performs higher-level processing such as summarization and contextual interpretation, 3) Pass the info into RAG, 4) Through RAG it can return dashboard</t>
  </si>
  <si>
    <t>https://github.com/chooxyanna/AI_bootcamp_capstone.git</t>
  </si>
  <si>
    <t>Tan Pengru</t>
  </si>
  <si>
    <t>tan_pengru@ssg.gov.sg</t>
  </si>
  <si>
    <t>AI-Research Assistant</t>
  </si>
  <si>
    <t>A research repository to: 1) upload and summarize research findings 2) search open-access databases and provide summary</t>
  </si>
  <si>
    <t>https://ai-researchassistant.streamlit.app/</t>
  </si>
  <si>
    <t>skillsfuture</t>
  </si>
  <si>
    <t>Daniel Liu</t>
  </si>
  <si>
    <t>lwgdaniel@gmail.com</t>
  </si>
  <si>
    <t>GST Voucher Chatbot</t>
  </si>
  <si>
    <t>Helps case officers handling the GST Voucher scheme to generate replies using the official GST Voucher FAQ</t>
  </si>
  <si>
    <t>seeking approval for idea?</t>
  </si>
  <si>
    <t>Eliyana</t>
  </si>
  <si>
    <t>eliyana_johnson_salim@tech.gov.sg</t>
  </si>
  <si>
    <t>chong wee kim</t>
  </si>
  <si>
    <t>chong_Wee_kim@mti.gov.sg</t>
  </si>
  <si>
    <t>Gerard Tay</t>
  </si>
  <si>
    <t>gerard_tay@pa.gov.sg</t>
  </si>
  <si>
    <t>Amanda Soh</t>
  </si>
  <si>
    <t>amanda_soh@moe.gov.sg</t>
  </si>
  <si>
    <t>Tender Evaluation Bot</t>
  </si>
  <si>
    <t>OCR + Data Visualisation + Data Analysis + Insights + Report Generation</t>
  </si>
  <si>
    <t>Lua Bee Ling</t>
  </si>
  <si>
    <t>lua_bee_ling@htx.gov.sg</t>
  </si>
  <si>
    <t>Contract Management Assistant</t>
  </si>
  <si>
    <t xml:space="preserve">A contract management assistant to pull from RAG information on contract document that are confidential. RAG information will be fictitious.
1) Extract the specific clause such as LD clause, termination clauses, SLA.
2) Summarise a list of action required by supplier, customer, authority.
3) Depending on the query, the assistant will provide advice accordingly if the information could be found in RAG information. </t>
  </si>
  <si>
    <t>Debbie Chia</t>
  </si>
  <si>
    <t>debbie_chia@htx.gov.sg</t>
  </si>
  <si>
    <t>Receipt Verification System</t>
  </si>
  <si>
    <t xml:space="preserve">For users to upload receipts to track preferred vendors, items. Also to allow user query on claims guidelines. </t>
  </si>
  <si>
    <t>Ng Chee Wah</t>
  </si>
  <si>
    <t>ng_chee_wah@htx.gov.sg</t>
  </si>
  <si>
    <t>ITSM RAG Bot</t>
  </si>
  <si>
    <t>Based on past ITSM tickets, proposed possible solutions based on user query</t>
  </si>
  <si>
    <t>Alex Chan</t>
  </si>
  <si>
    <t>alex_ky_chan@bca.gov.sg</t>
  </si>
  <si>
    <t>AI Fact Checker &amp; Document Chatbot</t>
  </si>
  <si>
    <t xml:space="preserve">As the volume of digital content grows, ensuring accuracy and consistency has become increasingly challenging. 
 AI fact-checkers and chatbots are essential tools for managing and verifying information within documents. \n
In this application, we integrate both functionalities to provide a comprehensive solution for document handling:
        - **Document AI fact-checker** can quickly evaulate the documents for misinformation, verify claims, and highlight discrepancies
        - **Document Chatbot** allows users to interact with documents more efficiently by answering questions, summarizing content, and clarifying complex points. 
Together, they enhance reliability, streamline workflows, and support informed decision-making across academic, professional, and corporate settings. </t>
  </si>
  <si>
    <t>No.</t>
  </si>
  <si>
    <t>Student ID</t>
  </si>
  <si>
    <t>Name</t>
  </si>
  <si>
    <t>Work (Company) email address</t>
  </si>
  <si>
    <t>Organisation</t>
  </si>
  <si>
    <t>Ideated in Run 1</t>
  </si>
  <si>
    <t>Ideated in Run 2</t>
  </si>
  <si>
    <t>Submitted</t>
  </si>
  <si>
    <t>Not ideated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</si>
</sst>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name val="Calibri"/>
      <family val="2"/>
    </font>
    <font>
      <b/>
      <sz val="11"/>
      <color theme="1"/>
      <name val="Calibri"/>
      <family val="2"/>
      <scheme val="minor"/>
    </font>
    <font>
      <b/>
      <sz val="11"/>
      <color theme="0"/>
      <name val="Calibri"/>
      <family val="2"/>
      <scheme val="minor"/>
    </font>
    <font>
      <sz val="11"/>
      <color theme="0"/>
      <name val="Calibri"/>
      <family val="2"/>
      <scheme val="minor"/>
    </font>
    <font>
      <b/>
      <sz val="10"/>
      <color theme="1"/>
      <name val="Arial"/>
      <family val="2"/>
    </font>
    <font>
      <b/>
      <sz val="11"/>
      <color theme="0"/>
      <name val="Calibri"/>
      <family val="2"/>
    </font>
    <font>
      <u/>
      <sz val="11"/>
      <color theme="10"/>
      <name val="Calibri"/>
      <family val="2"/>
      <scheme val="minor"/>
    </font>
    <font>
      <sz val="11"/>
      <color rgb="FFFF0000"/>
      <name val="Calibri"/>
      <family val="2"/>
      <scheme val="minor"/>
    </font>
    <font>
      <sz val="11"/>
      <color rgb="FF000000"/>
      <name val="Calibri"/>
      <scheme val="minor"/>
    </font>
  </fonts>
  <fills count="6">
    <fill>
      <patternFill patternType="none"/>
    </fill>
    <fill>
      <patternFill patternType="gray125"/>
    </fill>
    <fill>
      <patternFill patternType="solid">
        <fgColor theme="4" tint="0.79998168889431442"/>
        <bgColor indexed="64"/>
      </patternFill>
    </fill>
    <fill>
      <patternFill patternType="solid">
        <fgColor theme="1" tint="0.499984740745262"/>
        <bgColor indexed="64"/>
      </patternFill>
    </fill>
    <fill>
      <patternFill patternType="solid">
        <fgColor rgb="FF92D05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1" fillId="0" borderId="1" xfId="0" applyFont="1" applyBorder="1" applyAlignment="1">
      <alignment horizontal="center" vertical="top"/>
    </xf>
    <xf numFmtId="0" fontId="0" fillId="0" borderId="0" xfId="0" applyAlignment="1">
      <alignment horizontal="center"/>
    </xf>
    <xf numFmtId="49" fontId="0" fillId="0" borderId="0" xfId="0" applyNumberFormat="1"/>
    <xf numFmtId="0" fontId="0" fillId="0" borderId="1" xfId="0" applyBorder="1"/>
    <xf numFmtId="0" fontId="4" fillId="3" borderId="0" xfId="0" applyFont="1" applyFill="1" applyAlignment="1">
      <alignment horizontal="center"/>
    </xf>
    <xf numFmtId="0" fontId="6" fillId="3" borderId="1" xfId="0" applyFont="1" applyFill="1" applyBorder="1" applyAlignment="1">
      <alignment horizontal="center" vertical="top"/>
    </xf>
    <xf numFmtId="0" fontId="3" fillId="3" borderId="1" xfId="0" applyFont="1" applyFill="1" applyBorder="1" applyAlignment="1">
      <alignment horizontal="center"/>
    </xf>
    <xf numFmtId="0" fontId="0" fillId="0" borderId="1" xfId="0" applyBorder="1" applyAlignment="1">
      <alignment horizontal="center"/>
    </xf>
    <xf numFmtId="0" fontId="0" fillId="4" borderId="1" xfId="0" applyFill="1" applyBorder="1" applyAlignment="1">
      <alignment horizontal="center"/>
    </xf>
    <xf numFmtId="49" fontId="5" fillId="2" borderId="2" xfId="0" applyNumberFormat="1" applyFont="1" applyFill="1" applyBorder="1" applyAlignment="1">
      <alignment horizontal="center"/>
    </xf>
    <xf numFmtId="49" fontId="5" fillId="2" borderId="2" xfId="0" applyNumberFormat="1" applyFont="1" applyFill="1" applyBorder="1"/>
    <xf numFmtId="0" fontId="0" fillId="0" borderId="2" xfId="0" applyBorder="1" applyAlignment="1">
      <alignment horizontal="center"/>
    </xf>
    <xf numFmtId="0" fontId="0" fillId="0" borderId="2" xfId="0" applyBorder="1"/>
    <xf numFmtId="0" fontId="2" fillId="0" borderId="0" xfId="0" applyFont="1" applyAlignment="1">
      <alignment horizontal="center"/>
    </xf>
    <xf numFmtId="0" fontId="0" fillId="0" borderId="3" xfId="0" applyBorder="1"/>
    <xf numFmtId="0" fontId="0" fillId="0" borderId="5" xfId="0" applyBorder="1"/>
    <xf numFmtId="0" fontId="2" fillId="0" borderId="5" xfId="0" applyFont="1" applyBorder="1" applyAlignment="1">
      <alignment horizontal="center"/>
    </xf>
    <xf numFmtId="0" fontId="2" fillId="0" borderId="4" xfId="0" applyFont="1" applyBorder="1" applyAlignment="1">
      <alignment horizontal="center"/>
    </xf>
    <xf numFmtId="10" fontId="0" fillId="0" borderId="0" xfId="0" applyNumberFormat="1"/>
    <xf numFmtId="0" fontId="7" fillId="0" borderId="1" xfId="1" applyBorder="1"/>
    <xf numFmtId="0" fontId="0" fillId="0" borderId="1" xfId="0" applyBorder="1" applyAlignment="1">
      <alignment wrapText="1"/>
    </xf>
    <xf numFmtId="0" fontId="7" fillId="0" borderId="1" xfId="1" applyBorder="1" applyAlignment="1"/>
    <xf numFmtId="0" fontId="8" fillId="0" borderId="1" xfId="0" applyFont="1" applyBorder="1"/>
    <xf numFmtId="0" fontId="7" fillId="0" borderId="1" xfId="1" applyBorder="1" applyAlignment="1">
      <alignment wrapText="1"/>
    </xf>
    <xf numFmtId="0" fontId="0" fillId="5" borderId="1" xfId="0" applyFill="1" applyBorder="1" applyAlignment="1">
      <alignment horizontal="center"/>
    </xf>
    <xf numFmtId="0" fontId="9" fillId="0" borderId="1" xfId="0" applyFont="1" applyBorder="1" applyAlignment="1">
      <alignment wrapText="1"/>
    </xf>
  </cellXfs>
  <cellStyles count="2">
    <cellStyle name="Hyperlink" xfId="1" builtinId="8"/>
    <cellStyle name="Normal" xfId="0" builtinId="0"/>
  </cellStyles>
  <dxfs count="5">
    <dxf>
      <fill>
        <patternFill patternType="solid">
          <bgColor theme="5" tint="0.79998168889431442"/>
        </patternFill>
      </fill>
    </dxf>
    <dxf>
      <fill>
        <patternFill patternType="solid">
          <bgColor rgb="FFFFFF80"/>
        </patternFill>
      </fill>
    </dxf>
    <dxf>
      <fill>
        <patternFill patternType="solid">
          <bgColor theme="6" tint="0.39997558519241921"/>
        </patternFill>
      </fill>
    </dxf>
    <dxf>
      <fill>
        <patternFill patternType="solid">
          <bgColor rgb="FF92D050"/>
        </patternFill>
      </fill>
    </dxf>
    <dxf>
      <font>
        <color rgb="FF9C0006"/>
      </font>
      <fill>
        <patternFill>
          <bgColor rgb="FFFFC7CE"/>
        </patternFill>
      </fill>
    </dxf>
  </dxfs>
  <tableStyles count="0" defaultTableStyle="TableStyleMedium9" defaultPivotStyle="PivotStyleLight16"/>
  <colors>
    <mruColors>
      <color rgb="FFFFFF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lwgdaniel@gmail.com" TargetMode="External"/><Relationship Id="rId13" Type="http://schemas.openxmlformats.org/officeDocument/2006/relationships/hyperlink" Target="https://ai-researchassistant.streamlit.app/" TargetMode="External"/><Relationship Id="rId3" Type="http://schemas.openxmlformats.org/officeDocument/2006/relationships/hyperlink" Target="mailto:tan_pengru@ssg.gov.sg" TargetMode="External"/><Relationship Id="rId7" Type="http://schemas.openxmlformats.org/officeDocument/2006/relationships/hyperlink" Target="mailto:eliyana_johnson_salim@tech.gov.sg" TargetMode="External"/><Relationship Id="rId12" Type="http://schemas.openxmlformats.org/officeDocument/2006/relationships/hyperlink" Target="mailto:alex_ky_chan@bca.gov.sg" TargetMode="External"/><Relationship Id="rId2" Type="http://schemas.openxmlformats.org/officeDocument/2006/relationships/hyperlink" Target="mailto:anna_choo@nea.gov.sg" TargetMode="External"/><Relationship Id="rId1" Type="http://schemas.openxmlformats.org/officeDocument/2006/relationships/hyperlink" Target="mailto:ivan_chew@tech.gov.sg" TargetMode="External"/><Relationship Id="rId6" Type="http://schemas.openxmlformats.org/officeDocument/2006/relationships/hyperlink" Target="mailto:chong_Wee_kim@mti.gov.sg" TargetMode="External"/><Relationship Id="rId11" Type="http://schemas.openxmlformats.org/officeDocument/2006/relationships/hyperlink" Target="mailto:lua_bee_ling@htx.gov.sg" TargetMode="External"/><Relationship Id="rId5" Type="http://schemas.openxmlformats.org/officeDocument/2006/relationships/hyperlink" Target="mailto:gerard_tay@pa.gov.sg" TargetMode="External"/><Relationship Id="rId15" Type="http://schemas.openxmlformats.org/officeDocument/2006/relationships/printerSettings" Target="../printerSettings/printerSettings1.bin"/><Relationship Id="rId10" Type="http://schemas.openxmlformats.org/officeDocument/2006/relationships/hyperlink" Target="mailto:ng_chee_wah@htx.gov.sg" TargetMode="External"/><Relationship Id="rId4" Type="http://schemas.openxmlformats.org/officeDocument/2006/relationships/hyperlink" Target="mailto:amanda_soh@moe.gov.sg" TargetMode="External"/><Relationship Id="rId9" Type="http://schemas.openxmlformats.org/officeDocument/2006/relationships/hyperlink" Target="mailto:debbie_chia@htx.gov.sg" TargetMode="External"/><Relationship Id="rId14" Type="http://schemas.openxmlformats.org/officeDocument/2006/relationships/hyperlink" Target="https://github.com/chooxyanna/AI_bootcamp_capstone.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A36F3-00FF-4CB6-9168-A609E1E459A1}">
  <dimension ref="A1:E8"/>
  <sheetViews>
    <sheetView workbookViewId="0">
      <selection activeCell="I37" sqref="I37"/>
    </sheetView>
  </sheetViews>
  <sheetFormatPr defaultRowHeight="14.45"/>
  <cols>
    <col min="1" max="1" width="18.5703125" bestFit="1" customWidth="1"/>
    <col min="2" max="3" width="5.5703125" bestFit="1" customWidth="1"/>
    <col min="4" max="4" width="5.140625" bestFit="1" customWidth="1"/>
    <col min="5" max="5" width="7.5703125" bestFit="1" customWidth="1"/>
  </cols>
  <sheetData>
    <row r="1" spans="1:5">
      <c r="A1" s="16"/>
      <c r="B1" s="18" t="s">
        <v>0</v>
      </c>
      <c r="C1" s="17" t="s">
        <v>1</v>
      </c>
      <c r="D1" s="18" t="s">
        <v>2</v>
      </c>
    </row>
    <row r="2" spans="1:5">
      <c r="A2" t="s">
        <v>3</v>
      </c>
      <c r="B2" s="15">
        <f>COUNTA(Run1_Learners!A2:A23)</f>
        <v>4</v>
      </c>
      <c r="C2">
        <f>COUNTA(#REF!)</f>
        <v>1</v>
      </c>
      <c r="D2" s="15">
        <f>SUM(B2:C2)</f>
        <v>5</v>
      </c>
    </row>
    <row r="3" spans="1:5">
      <c r="A3" t="s">
        <v>4</v>
      </c>
      <c r="B3" s="15">
        <f>Summary!B2-Run1_Learners!J7</f>
        <v>4</v>
      </c>
      <c r="C3" t="e">
        <f>C2-#REF!</f>
        <v>#REF!</v>
      </c>
      <c r="D3" s="15" t="e">
        <f>SUM(B3:C3)</f>
        <v>#REF!</v>
      </c>
      <c r="E3" s="19" t="e">
        <f>D3/D2</f>
        <v>#REF!</v>
      </c>
    </row>
    <row r="4" spans="1:5">
      <c r="A4" t="s">
        <v>5</v>
      </c>
      <c r="B4" s="15">
        <f>Run1_Learners!H6</f>
        <v>0</v>
      </c>
      <c r="C4" t="e">
        <f>#REF!</f>
        <v>#REF!</v>
      </c>
      <c r="D4" s="15" t="e">
        <f>SUM(B4:C4)</f>
        <v>#REF!</v>
      </c>
      <c r="E4" s="19" t="e">
        <f>D4/D2</f>
        <v>#REF!</v>
      </c>
    </row>
    <row r="5" spans="1:5">
      <c r="A5" t="s">
        <v>6</v>
      </c>
      <c r="B5" s="15" t="e">
        <f>Run1_Groups!#REF!</f>
        <v>#REF!</v>
      </c>
      <c r="C5" t="e">
        <f>#REF!</f>
        <v>#REF!</v>
      </c>
      <c r="D5" s="15" t="e">
        <f>SUM(B5:C5)</f>
        <v>#REF!</v>
      </c>
      <c r="E5" s="19" t="e">
        <f>D5/D2</f>
        <v>#REF!</v>
      </c>
    </row>
    <row r="6" spans="1:5">
      <c r="A6" t="s">
        <v>7</v>
      </c>
      <c r="B6" s="15">
        <f>COUNTA(Run1_Groups!A2:A64)</f>
        <v>16</v>
      </c>
      <c r="C6">
        <f>COUNTA(#REF!)</f>
        <v>1</v>
      </c>
      <c r="D6" s="15">
        <f t="shared" ref="D6:D8" si="0">SUM(B6:C6)</f>
        <v>17</v>
      </c>
    </row>
    <row r="7" spans="1:5">
      <c r="A7" t="s">
        <v>8</v>
      </c>
      <c r="B7" s="15" t="e">
        <f>Run1_Groups!#REF!</f>
        <v>#REF!</v>
      </c>
      <c r="C7" t="e">
        <f>#REF!</f>
        <v>#REF!</v>
      </c>
      <c r="D7" s="15" t="e">
        <f t="shared" si="0"/>
        <v>#REF!</v>
      </c>
      <c r="E7" s="19" t="e">
        <f>D7/D6</f>
        <v>#REF!</v>
      </c>
    </row>
    <row r="8" spans="1:5">
      <c r="A8" t="s">
        <v>9</v>
      </c>
      <c r="B8" s="15" t="e">
        <f>Run1_Groups!#REF!</f>
        <v>#REF!</v>
      </c>
      <c r="C8" t="e">
        <f>#REF!</f>
        <v>#REF!</v>
      </c>
      <c r="D8" s="15" t="e">
        <f t="shared" si="0"/>
        <v>#REF!</v>
      </c>
      <c r="E8" s="19" t="e">
        <f>D8/D6</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
  <sheetViews>
    <sheetView tabSelected="1" zoomScale="90" zoomScaleNormal="90" workbookViewId="0">
      <pane xSplit="2" ySplit="1" topLeftCell="H5" activePane="bottomRight" state="frozen"/>
      <selection pane="bottomRight" activeCell="J10" sqref="J10"/>
      <selection pane="bottomLeft" activeCell="I37" sqref="I37"/>
      <selection pane="topRight" activeCell="I37" sqref="I37"/>
    </sheetView>
  </sheetViews>
  <sheetFormatPr defaultRowHeight="15" customHeight="1"/>
  <cols>
    <col min="1" max="1" width="9.42578125" customWidth="1"/>
    <col min="2" max="2" width="39" customWidth="1"/>
    <col min="3" max="3" width="38" bestFit="1" customWidth="1"/>
    <col min="4" max="4" width="18.85546875" bestFit="1" customWidth="1"/>
    <col min="5" max="5" width="30.140625" bestFit="1" customWidth="1"/>
    <col min="6" max="6" width="26" bestFit="1" customWidth="1"/>
    <col min="7" max="9" width="30" customWidth="1"/>
    <col min="10" max="10" width="34.140625" customWidth="1"/>
    <col min="11" max="11" width="64" customWidth="1"/>
    <col min="12" max="12" width="21.85546875" style="2" customWidth="1"/>
    <col min="13" max="13" width="10.7109375" bestFit="1" customWidth="1"/>
    <col min="14" max="14" width="55.28515625" customWidth="1"/>
    <col min="15" max="15" width="30.140625" customWidth="1"/>
    <col min="16" max="16" width="38.42578125" customWidth="1"/>
    <col min="17" max="17" width="41.85546875" customWidth="1"/>
  </cols>
  <sheetData>
    <row r="1" spans="1:18" ht="14.45">
      <c r="A1" s="5"/>
      <c r="B1" s="6" t="s">
        <v>10</v>
      </c>
      <c r="C1" s="6" t="s">
        <v>11</v>
      </c>
      <c r="D1" s="6" t="s">
        <v>12</v>
      </c>
      <c r="E1" s="6" t="s">
        <v>13</v>
      </c>
      <c r="F1" s="6" t="s">
        <v>14</v>
      </c>
      <c r="G1" s="6" t="s">
        <v>15</v>
      </c>
      <c r="H1" s="6" t="s">
        <v>16</v>
      </c>
      <c r="I1" s="6" t="s">
        <v>17</v>
      </c>
      <c r="J1" s="7" t="s">
        <v>18</v>
      </c>
      <c r="K1" s="7" t="s">
        <v>19</v>
      </c>
      <c r="L1" s="7" t="s">
        <v>20</v>
      </c>
      <c r="M1" s="7" t="s">
        <v>21</v>
      </c>
      <c r="N1" s="7" t="s">
        <v>22</v>
      </c>
      <c r="O1" s="7" t="s">
        <v>23</v>
      </c>
      <c r="P1" s="7" t="s">
        <v>24</v>
      </c>
      <c r="Q1" s="7" t="s">
        <v>25</v>
      </c>
      <c r="R1" s="7" t="s">
        <v>26</v>
      </c>
    </row>
    <row r="2" spans="1:18" ht="262.5" customHeight="1">
      <c r="A2" s="1">
        <v>1</v>
      </c>
      <c r="B2" s="4" t="s">
        <v>27</v>
      </c>
      <c r="C2" s="20" t="s">
        <v>28</v>
      </c>
      <c r="D2" s="4"/>
      <c r="E2" s="21"/>
      <c r="F2" s="4"/>
      <c r="G2" s="4"/>
      <c r="H2" s="4"/>
      <c r="I2" s="4"/>
      <c r="J2" s="4" t="s">
        <v>29</v>
      </c>
      <c r="K2" s="21" t="s">
        <v>30</v>
      </c>
      <c r="L2" s="9" t="s">
        <v>31</v>
      </c>
      <c r="M2" s="8">
        <v>1</v>
      </c>
      <c r="N2" s="20"/>
      <c r="O2" s="4"/>
      <c r="P2" s="4"/>
      <c r="Q2" s="4"/>
      <c r="R2">
        <f>SUMPRODUCT(IF(Q2&lt;&gt;"",1,0),M2)</f>
        <v>0</v>
      </c>
    </row>
    <row r="3" spans="1:18">
      <c r="A3" s="1">
        <f>+A2+1</f>
        <v>2</v>
      </c>
      <c r="B3" s="4" t="s">
        <v>32</v>
      </c>
      <c r="C3" s="20" t="s">
        <v>33</v>
      </c>
      <c r="D3" s="4"/>
      <c r="E3" s="21"/>
      <c r="F3" s="4" t="s">
        <v>34</v>
      </c>
      <c r="G3" s="4"/>
      <c r="H3" s="4"/>
      <c r="I3" s="4"/>
      <c r="J3" s="4" t="s">
        <v>35</v>
      </c>
      <c r="K3" s="4" t="s">
        <v>36</v>
      </c>
      <c r="L3" s="9" t="s">
        <v>31</v>
      </c>
      <c r="M3" s="8">
        <f t="shared" ref="M3:M17" si="0">IF(B3="",0,1)+IF(D3="",0,1)+IF(F3="",0,1)</f>
        <v>1</v>
      </c>
      <c r="N3" s="20" t="s">
        <v>37</v>
      </c>
      <c r="O3" s="4"/>
      <c r="P3" s="20"/>
      <c r="Q3" s="4"/>
      <c r="R3">
        <f t="shared" ref="R3:R17" si="1">SUMPRODUCT(IF(Q3&lt;&gt;"",1,0),M3)</f>
        <v>0</v>
      </c>
    </row>
    <row r="4" spans="1:18" ht="40.5" customHeight="1">
      <c r="A4" s="1">
        <f t="shared" ref="A4:A17" si="2">+A3+1</f>
        <v>3</v>
      </c>
      <c r="B4" s="4" t="s">
        <v>38</v>
      </c>
      <c r="C4" s="20" t="s">
        <v>39</v>
      </c>
      <c r="D4" s="4"/>
      <c r="E4" s="21"/>
      <c r="F4" s="4"/>
      <c r="G4" s="4"/>
      <c r="H4" s="4"/>
      <c r="I4" s="4"/>
      <c r="J4" t="s">
        <v>40</v>
      </c>
      <c r="K4" s="4" t="s">
        <v>41</v>
      </c>
      <c r="L4" s="9" t="s">
        <v>31</v>
      </c>
      <c r="M4" s="8">
        <f t="shared" si="0"/>
        <v>1</v>
      </c>
      <c r="N4" s="20" t="s">
        <v>42</v>
      </c>
      <c r="O4" s="4" t="s">
        <v>43</v>
      </c>
      <c r="P4" s="20"/>
      <c r="Q4" s="4"/>
      <c r="R4">
        <f t="shared" si="1"/>
        <v>0</v>
      </c>
    </row>
    <row r="5" spans="1:18" ht="214.5" customHeight="1">
      <c r="A5" s="1">
        <f t="shared" si="2"/>
        <v>4</v>
      </c>
      <c r="B5" s="4" t="s">
        <v>44</v>
      </c>
      <c r="C5" s="20" t="s">
        <v>45</v>
      </c>
      <c r="D5" s="4"/>
      <c r="E5" s="21"/>
      <c r="F5" s="4"/>
      <c r="G5" s="4"/>
      <c r="H5" s="4"/>
      <c r="I5" s="4"/>
      <c r="J5" s="4" t="s">
        <v>46</v>
      </c>
      <c r="K5" s="26" t="s">
        <v>47</v>
      </c>
      <c r="L5" s="25" t="s">
        <v>48</v>
      </c>
      <c r="M5" s="8">
        <f t="shared" si="0"/>
        <v>1</v>
      </c>
      <c r="N5" s="20"/>
      <c r="O5" s="4"/>
      <c r="P5" s="4"/>
      <c r="Q5" s="4"/>
      <c r="R5">
        <f t="shared" si="1"/>
        <v>0</v>
      </c>
    </row>
    <row r="6" spans="1:18" ht="14.45">
      <c r="A6" s="1">
        <f t="shared" si="2"/>
        <v>5</v>
      </c>
      <c r="B6" s="4"/>
      <c r="C6" s="4"/>
      <c r="D6" s="4"/>
      <c r="E6" s="21"/>
      <c r="F6" s="4" t="s">
        <v>34</v>
      </c>
      <c r="G6" s="4"/>
      <c r="H6" s="4"/>
      <c r="I6" s="4"/>
      <c r="J6" s="4"/>
      <c r="K6" s="4"/>
      <c r="L6" s="9" t="s">
        <v>31</v>
      </c>
      <c r="M6" s="8">
        <f t="shared" si="0"/>
        <v>0</v>
      </c>
      <c r="N6" s="20"/>
      <c r="O6" s="4"/>
      <c r="P6" s="4"/>
      <c r="Q6" s="4"/>
      <c r="R6">
        <f t="shared" si="1"/>
        <v>0</v>
      </c>
    </row>
    <row r="7" spans="1:18">
      <c r="A7" s="1">
        <f t="shared" si="2"/>
        <v>6</v>
      </c>
      <c r="B7" s="4" t="s">
        <v>49</v>
      </c>
      <c r="C7" s="20" t="s">
        <v>50</v>
      </c>
      <c r="D7" s="4" t="s">
        <v>51</v>
      </c>
      <c r="E7" s="24" t="s">
        <v>52</v>
      </c>
      <c r="F7" s="4" t="s">
        <v>53</v>
      </c>
      <c r="G7" s="20" t="s">
        <v>54</v>
      </c>
      <c r="H7" s="4" t="s">
        <v>55</v>
      </c>
      <c r="I7" s="20" t="s">
        <v>56</v>
      </c>
      <c r="J7" s="4" t="s">
        <v>57</v>
      </c>
      <c r="K7" s="4" t="s">
        <v>58</v>
      </c>
      <c r="L7" s="9" t="s">
        <v>31</v>
      </c>
      <c r="M7" s="8">
        <f t="shared" si="0"/>
        <v>3</v>
      </c>
      <c r="N7" s="4"/>
      <c r="O7" s="4"/>
      <c r="P7" s="4"/>
      <c r="Q7" s="4"/>
      <c r="R7">
        <f t="shared" si="1"/>
        <v>0</v>
      </c>
    </row>
    <row r="8" spans="1:18" ht="106.5">
      <c r="A8" s="1">
        <f t="shared" si="2"/>
        <v>7</v>
      </c>
      <c r="B8" s="4" t="s">
        <v>59</v>
      </c>
      <c r="C8" s="20" t="s">
        <v>60</v>
      </c>
      <c r="D8" s="4" t="s">
        <v>34</v>
      </c>
      <c r="E8" s="21"/>
      <c r="F8" s="4" t="s">
        <v>34</v>
      </c>
      <c r="G8" s="4"/>
      <c r="H8" s="4"/>
      <c r="I8" s="20"/>
      <c r="J8" s="4" t="s">
        <v>61</v>
      </c>
      <c r="K8" s="21" t="s">
        <v>62</v>
      </c>
      <c r="L8" s="9" t="s">
        <v>31</v>
      </c>
      <c r="M8" s="8">
        <f t="shared" si="0"/>
        <v>1</v>
      </c>
      <c r="N8" s="20"/>
      <c r="O8" s="21"/>
      <c r="P8" s="20"/>
      <c r="Q8" s="4"/>
      <c r="R8">
        <f t="shared" si="1"/>
        <v>0</v>
      </c>
    </row>
    <row r="9" spans="1:18">
      <c r="A9" s="1">
        <f t="shared" si="2"/>
        <v>8</v>
      </c>
      <c r="B9" s="4" t="s">
        <v>63</v>
      </c>
      <c r="C9" s="20" t="s">
        <v>64</v>
      </c>
      <c r="D9" s="4" t="s">
        <v>34</v>
      </c>
      <c r="E9" s="21"/>
      <c r="F9" s="4" t="s">
        <v>34</v>
      </c>
      <c r="G9" s="4"/>
      <c r="H9" s="4"/>
      <c r="I9" s="4"/>
      <c r="J9" s="4" t="s">
        <v>65</v>
      </c>
      <c r="K9" s="4" t="s">
        <v>66</v>
      </c>
      <c r="L9" s="9" t="s">
        <v>31</v>
      </c>
      <c r="M9" s="8">
        <f t="shared" si="0"/>
        <v>1</v>
      </c>
      <c r="N9" s="20"/>
      <c r="O9" s="4"/>
      <c r="P9" s="20"/>
      <c r="Q9" s="4"/>
      <c r="R9">
        <f t="shared" si="1"/>
        <v>0</v>
      </c>
    </row>
    <row r="10" spans="1:18">
      <c r="A10" s="1">
        <f t="shared" si="2"/>
        <v>9</v>
      </c>
      <c r="B10" s="4" t="s">
        <v>67</v>
      </c>
      <c r="C10" s="20" t="s">
        <v>68</v>
      </c>
      <c r="D10" s="4"/>
      <c r="E10" s="21"/>
      <c r="F10" s="4" t="s">
        <v>34</v>
      </c>
      <c r="G10" s="4"/>
      <c r="H10" s="4"/>
      <c r="I10" s="4"/>
      <c r="J10" s="4" t="s">
        <v>69</v>
      </c>
      <c r="K10" s="4" t="s">
        <v>70</v>
      </c>
      <c r="L10" s="9" t="s">
        <v>31</v>
      </c>
      <c r="M10" s="8">
        <f t="shared" si="0"/>
        <v>1</v>
      </c>
      <c r="N10" s="20"/>
      <c r="O10" s="4"/>
      <c r="P10" s="20"/>
      <c r="Q10" s="4"/>
      <c r="R10">
        <f t="shared" si="1"/>
        <v>0</v>
      </c>
    </row>
    <row r="11" spans="1:18" ht="244.5">
      <c r="A11" s="1">
        <f t="shared" si="2"/>
        <v>10</v>
      </c>
      <c r="B11" s="4" t="s">
        <v>71</v>
      </c>
      <c r="C11" s="20" t="s">
        <v>72</v>
      </c>
      <c r="D11" s="4"/>
      <c r="E11" s="21"/>
      <c r="F11" s="4" t="s">
        <v>34</v>
      </c>
      <c r="G11" s="4"/>
      <c r="H11" s="4"/>
      <c r="I11" s="4"/>
      <c r="J11" s="4" t="s">
        <v>73</v>
      </c>
      <c r="K11" s="21" t="s">
        <v>74</v>
      </c>
      <c r="L11" s="9" t="s">
        <v>31</v>
      </c>
      <c r="M11" s="8">
        <f t="shared" si="0"/>
        <v>1</v>
      </c>
      <c r="N11" s="20"/>
      <c r="O11" s="4"/>
      <c r="P11" s="20"/>
      <c r="Q11" s="4"/>
      <c r="R11">
        <f t="shared" si="1"/>
        <v>0</v>
      </c>
    </row>
    <row r="12" spans="1:18" ht="14.45">
      <c r="A12" s="1">
        <f t="shared" si="2"/>
        <v>11</v>
      </c>
      <c r="B12" s="4"/>
      <c r="C12" s="4"/>
      <c r="D12" s="4"/>
      <c r="E12" s="21"/>
      <c r="F12" s="4" t="s">
        <v>34</v>
      </c>
      <c r="G12" s="4"/>
      <c r="H12" s="4"/>
      <c r="I12" s="4"/>
      <c r="J12" s="4"/>
      <c r="K12" s="4"/>
      <c r="L12" s="9" t="s">
        <v>31</v>
      </c>
      <c r="M12" s="8">
        <f t="shared" si="0"/>
        <v>0</v>
      </c>
      <c r="N12" s="20"/>
      <c r="O12" s="4"/>
      <c r="P12" s="20"/>
      <c r="Q12" s="4"/>
      <c r="R12">
        <f t="shared" si="1"/>
        <v>0</v>
      </c>
    </row>
    <row r="13" spans="1:18" ht="14.45">
      <c r="A13" s="1">
        <f t="shared" si="2"/>
        <v>12</v>
      </c>
      <c r="B13" s="4"/>
      <c r="C13" s="4"/>
      <c r="D13" s="4"/>
      <c r="E13" s="21"/>
      <c r="F13" s="4" t="s">
        <v>34</v>
      </c>
      <c r="G13" s="4"/>
      <c r="H13" s="4"/>
      <c r="I13" s="4"/>
      <c r="J13" s="4"/>
      <c r="K13" s="4"/>
      <c r="L13" s="9" t="s">
        <v>31</v>
      </c>
      <c r="M13" s="8">
        <f t="shared" si="0"/>
        <v>0</v>
      </c>
      <c r="N13" s="4"/>
      <c r="O13" s="4"/>
      <c r="P13" s="20"/>
      <c r="Q13" s="23"/>
      <c r="R13">
        <f t="shared" si="1"/>
        <v>0</v>
      </c>
    </row>
    <row r="14" spans="1:18" ht="14.45">
      <c r="A14" s="1">
        <f t="shared" si="2"/>
        <v>13</v>
      </c>
      <c r="B14" s="4"/>
      <c r="C14" s="4"/>
      <c r="D14" s="4" t="s">
        <v>34</v>
      </c>
      <c r="E14" s="21"/>
      <c r="F14" s="4" t="s">
        <v>34</v>
      </c>
      <c r="G14" s="4"/>
      <c r="H14" s="4"/>
      <c r="I14" s="4"/>
      <c r="J14" s="4"/>
      <c r="K14" s="4"/>
      <c r="L14" s="9" t="s">
        <v>31</v>
      </c>
      <c r="M14" s="8">
        <f t="shared" si="0"/>
        <v>0</v>
      </c>
      <c r="N14" s="20"/>
      <c r="O14" s="4"/>
      <c r="P14" s="20"/>
      <c r="Q14" s="4"/>
      <c r="R14">
        <f t="shared" si="1"/>
        <v>0</v>
      </c>
    </row>
    <row r="15" spans="1:18" ht="14.45">
      <c r="A15" s="1">
        <f t="shared" si="2"/>
        <v>14</v>
      </c>
      <c r="B15" s="4"/>
      <c r="C15" s="4"/>
      <c r="D15" s="4" t="s">
        <v>34</v>
      </c>
      <c r="E15" s="21"/>
      <c r="F15" s="4" t="s">
        <v>34</v>
      </c>
      <c r="G15" s="4"/>
      <c r="H15" s="4"/>
      <c r="I15" s="4"/>
      <c r="J15" s="4"/>
      <c r="K15" s="4"/>
      <c r="L15" s="9" t="s">
        <v>31</v>
      </c>
      <c r="M15" s="8">
        <f t="shared" si="0"/>
        <v>0</v>
      </c>
      <c r="N15" s="20"/>
      <c r="O15" s="4"/>
      <c r="P15" s="20"/>
      <c r="Q15" s="4"/>
      <c r="R15">
        <f t="shared" si="1"/>
        <v>0</v>
      </c>
    </row>
    <row r="16" spans="1:18" ht="14.45">
      <c r="A16" s="1">
        <f t="shared" si="2"/>
        <v>15</v>
      </c>
      <c r="B16" s="4"/>
      <c r="C16" s="4"/>
      <c r="D16" s="4"/>
      <c r="E16" s="21"/>
      <c r="F16" s="4"/>
      <c r="G16" s="4"/>
      <c r="H16" s="4"/>
      <c r="I16" s="4"/>
      <c r="J16" s="4"/>
      <c r="K16" s="4"/>
      <c r="L16" s="9" t="s">
        <v>31</v>
      </c>
      <c r="M16" s="8">
        <f t="shared" si="0"/>
        <v>0</v>
      </c>
      <c r="N16" s="20"/>
      <c r="O16" s="4"/>
      <c r="P16" s="22"/>
      <c r="Q16" s="4"/>
      <c r="R16">
        <f t="shared" si="1"/>
        <v>0</v>
      </c>
    </row>
    <row r="17" spans="1:18" ht="14.45">
      <c r="A17" s="1">
        <f t="shared" si="2"/>
        <v>16</v>
      </c>
      <c r="B17" s="4"/>
      <c r="C17" s="4"/>
      <c r="D17" s="4"/>
      <c r="E17" s="21"/>
      <c r="F17" s="4"/>
      <c r="G17" s="4"/>
      <c r="H17" s="4"/>
      <c r="I17" s="4"/>
      <c r="J17" s="4"/>
      <c r="K17" s="4"/>
      <c r="L17" s="9" t="s">
        <v>31</v>
      </c>
      <c r="M17" s="8">
        <f t="shared" si="0"/>
        <v>0</v>
      </c>
      <c r="N17" s="20"/>
      <c r="O17" s="21"/>
      <c r="P17" s="20"/>
      <c r="Q17" s="4"/>
      <c r="R17">
        <f t="shared" si="1"/>
        <v>0</v>
      </c>
    </row>
    <row r="20" spans="1:18" ht="15" customHeight="1">
      <c r="M20">
        <f>SUM(M2:M17)</f>
        <v>11</v>
      </c>
    </row>
  </sheetData>
  <conditionalFormatting sqref="C1:C1048576 E1:E1048576 G1:I1048576">
    <cfRule type="containsText" dxfId="4" priority="2" stopIfTrue="1" operator="containsText" text="Not found">
      <formula>NOT(ISERROR(SEARCH("Not found",C1)))</formula>
    </cfRule>
  </conditionalFormatting>
  <conditionalFormatting sqref="L1:L1048576">
    <cfRule type="containsText" dxfId="3" priority="1" operator="containsText" text="Submitted">
      <formula>NOT(ISERROR(SEARCH("Submitted",L1)))</formula>
    </cfRule>
  </conditionalFormatting>
  <hyperlinks>
    <hyperlink ref="C2" r:id="rId1" xr:uid="{2655B81C-836D-420B-9034-6F92C7828222}"/>
    <hyperlink ref="C3" r:id="rId2" xr:uid="{ACE230C9-DA70-456D-9807-44CEE95F0E57}"/>
    <hyperlink ref="C4" r:id="rId3" xr:uid="{85AE8FDB-78B4-47A1-83E6-3875B7C8A4CF}"/>
    <hyperlink ref="I7" r:id="rId4" xr:uid="{59381A91-247D-47F9-8CAB-A8F4AED1E280}"/>
    <hyperlink ref="G7" r:id="rId5" xr:uid="{B9408A22-C588-4CAE-99B4-8848C75AFEC9}"/>
    <hyperlink ref="E7" r:id="rId6" xr:uid="{1454A5C2-0057-4C1E-9231-1AAF15FDF6A5}"/>
    <hyperlink ref="C7" r:id="rId7" xr:uid="{6EC0CCE9-5A42-4BF8-ACE9-FC3B5F5DA72F}"/>
    <hyperlink ref="C5" r:id="rId8" xr:uid="{87DAAD7D-904F-4EB3-AC8A-FFCE329FE69B}"/>
    <hyperlink ref="C9" r:id="rId9" xr:uid="{C7BBD0B3-F648-400F-A9FA-70BB85EAC1DA}"/>
    <hyperlink ref="C10" r:id="rId10" xr:uid="{913D64F0-C8E4-49C8-979B-7C64BED49F72}"/>
    <hyperlink ref="C8" r:id="rId11" xr:uid="{5D7E06D5-CA2E-4B92-A8B8-6BC82A0458C8}"/>
    <hyperlink ref="C11" r:id="rId12" xr:uid="{5649DE04-FECB-400C-807C-C807C6651672}"/>
    <hyperlink ref="N4" r:id="rId13" xr:uid="{CC3148A7-D053-4476-9E80-8BC9D57DC948}"/>
    <hyperlink ref="N3" r:id="rId14" xr:uid="{AD5E8B12-4E44-4E73-982E-82E9B02377EE}"/>
  </hyperlinks>
  <pageMargins left="0.75" right="0.75" top="1" bottom="1" header="0.5" footer="0.5"/>
  <pageSetup paperSize="9" orientation="portrait" r:id="rId15"/>
  <headerFooter>
    <oddHeader>&amp;C&amp;"Calibri"&amp;10&amp;K000000 Official (Closed), Non-Sensitive&amp;1#_x000D_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839C-C97C-4E4C-A81E-9C96612D43E1}">
  <dimension ref="A1:J11"/>
  <sheetViews>
    <sheetView workbookViewId="0">
      <pane xSplit="3" ySplit="1" topLeftCell="D27" activePane="bottomRight" state="frozen"/>
      <selection pane="bottomRight" activeCell="D28" sqref="D28"/>
      <selection pane="bottomLeft"/>
      <selection pane="topRight"/>
    </sheetView>
  </sheetViews>
  <sheetFormatPr defaultRowHeight="15" customHeight="1"/>
  <cols>
    <col min="2" max="2" width="9.85546875" bestFit="1" customWidth="1"/>
    <col min="3" max="3" width="40.42578125" bestFit="1" customWidth="1"/>
    <col min="4" max="4" width="38.140625" bestFit="1" customWidth="1"/>
    <col min="5" max="5" width="53.42578125" bestFit="1" customWidth="1"/>
    <col min="6" max="7" width="15.5703125" style="2" bestFit="1" customWidth="1"/>
    <col min="8" max="8" width="10.28515625" bestFit="1" customWidth="1"/>
    <col min="9" max="9" width="16.85546875" bestFit="1" customWidth="1"/>
  </cols>
  <sheetData>
    <row r="1" spans="1:10">
      <c r="A1" s="10" t="s">
        <v>75</v>
      </c>
      <c r="B1" s="11" t="s">
        <v>76</v>
      </c>
      <c r="C1" s="11" t="s">
        <v>77</v>
      </c>
      <c r="D1" s="11" t="s">
        <v>78</v>
      </c>
      <c r="E1" s="11" t="s">
        <v>79</v>
      </c>
      <c r="F1" s="10" t="s">
        <v>80</v>
      </c>
      <c r="G1" s="10" t="s">
        <v>81</v>
      </c>
      <c r="H1" s="10" t="s">
        <v>82</v>
      </c>
    </row>
    <row r="2" spans="1:10">
      <c r="A2" s="12">
        <v>1</v>
      </c>
      <c r="B2" s="13"/>
      <c r="C2" s="13"/>
      <c r="D2" s="13"/>
      <c r="E2" s="13"/>
      <c r="F2" s="12">
        <f>COUNTIF(Run1_Groups!$C$2:$C$108,"="&amp;D2)+COUNTIF(Run1_Groups!$E$2:$E$108,"="&amp;D2)+COUNTIF(Run1_Groups!$G$2:$G$108,"="&amp;D2)</f>
        <v>310</v>
      </c>
      <c r="G2" s="12" t="e">
        <f>COUNTIF(#REF!,"="&amp;D2)+COUNTIF(#REF!,"="&amp;D2)+COUNTIF(#REF!,"="&amp;D2)+COUNTIF(#REF!,"="&amp;D2)</f>
        <v>#REF!</v>
      </c>
      <c r="H2" s="13">
        <f>IF(
  OR(
    IFERROR(VLOOKUP(D2,Run1_Groups!$C$2:$L$17,8,FALSE)="Submitted",0),
    IFERROR(VLOOKUP(D2,Run1_Groups!$E$2:$L$17,6,FALSE)="Submitted",0),
    IFERROR(VLOOKUP(D2,Run1_Groups!$G$2:$L$17,4,FALSE)="Submitted",0),
    IFERROR(VLOOKUP(D2,#REF!,10,FALSE)="Submitted",0),
    IFERROR(VLOOKUP(D2,#REF!,8,FALSE)="Submitted",0),
    IFERROR(VLOOKUP(D2,#REF!,6,FALSE)="Submitted",0),
    IFERROR(VLOOKUP(D2,#REF!,4,FALSE)="Submitted",0)
  ),
1,0)</f>
        <v>0</v>
      </c>
      <c r="J2" t="e">
        <f>SUM(F2:G2)</f>
        <v>#REF!</v>
      </c>
    </row>
    <row r="3" spans="1:10">
      <c r="A3" s="12">
        <v>2</v>
      </c>
      <c r="B3" s="13"/>
      <c r="C3" s="13"/>
      <c r="D3" s="13"/>
      <c r="E3" s="13"/>
      <c r="F3" s="12">
        <f>COUNTIF(Run1_Groups!$C$2:$C$108,"="&amp;D3)+COUNTIF(Run1_Groups!$E$2:$E$108,"="&amp;D3)+COUNTIF(Run1_Groups!$G$2:$G$108,"="&amp;D3)</f>
        <v>310</v>
      </c>
      <c r="G3" s="12" t="e">
        <f>COUNTIF(#REF!,"="&amp;D3)+COUNTIF(#REF!,"="&amp;D3)+COUNTIF(#REF!,"="&amp;D3)+COUNTIF(#REF!,"="&amp;D3)</f>
        <v>#REF!</v>
      </c>
      <c r="H3" s="13">
        <f>IF(
  OR(
    IFERROR(VLOOKUP(D3,Run1_Groups!$C$2:$L$17,8,FALSE)="Submitted",0),
    IFERROR(VLOOKUP(D3,Run1_Groups!$E$2:$L$17,6,FALSE)="Submitted",0),
    IFERROR(VLOOKUP(D3,Run1_Groups!$G$2:$L$17,4,FALSE)="Submitted",0),
    IFERROR(VLOOKUP(D3,#REF!,10,FALSE)="Submitted",0),
    IFERROR(VLOOKUP(D3,#REF!,8,FALSE)="Submitted",0),
    IFERROR(VLOOKUP(D3,#REF!,6,FALSE)="Submitted",0),
    IFERROR(VLOOKUP(D3,#REF!,4,FALSE)="Submitted",0)
  ),
1,0)</f>
        <v>0</v>
      </c>
      <c r="J3" t="e">
        <f t="shared" ref="J3:J5" si="0">SUM(F3:G3)</f>
        <v>#REF!</v>
      </c>
    </row>
    <row r="4" spans="1:10">
      <c r="A4" s="12">
        <v>3</v>
      </c>
      <c r="B4" s="13"/>
      <c r="C4" s="13"/>
      <c r="D4" s="13"/>
      <c r="E4" s="13"/>
      <c r="F4" s="12">
        <f>COUNTIF(Run1_Groups!$C$2:$C$108,"="&amp;D4)+COUNTIF(Run1_Groups!$E$2:$E$108,"="&amp;D4)+COUNTIF(Run1_Groups!$G$2:$G$108,"="&amp;D4)</f>
        <v>310</v>
      </c>
      <c r="G4" s="12" t="e">
        <f>COUNTIF(#REF!,"="&amp;D4)+COUNTIF(#REF!,"="&amp;D4)+COUNTIF(#REF!,"="&amp;D4)+COUNTIF(#REF!,"="&amp;D4)</f>
        <v>#REF!</v>
      </c>
      <c r="H4" s="13">
        <f>IF(
  OR(
    IFERROR(VLOOKUP(D4,Run1_Groups!$C$2:$L$17,8,FALSE)="Submitted",0),
    IFERROR(VLOOKUP(D4,Run1_Groups!$E$2:$L$17,6,FALSE)="Submitted",0),
    IFERROR(VLOOKUP(D4,Run1_Groups!$G$2:$L$17,4,FALSE)="Submitted",0),
    IFERROR(VLOOKUP(D4,#REF!,10,FALSE)="Submitted",0),
    IFERROR(VLOOKUP(D4,#REF!,8,FALSE)="Submitted",0),
    IFERROR(VLOOKUP(D4,#REF!,6,FALSE)="Submitted",0),
    IFERROR(VLOOKUP(D4,#REF!,4,FALSE)="Submitted",0)
  ),
1,0)</f>
        <v>0</v>
      </c>
      <c r="J4" t="e">
        <f t="shared" si="0"/>
        <v>#REF!</v>
      </c>
    </row>
    <row r="5" spans="1:10">
      <c r="A5" s="12">
        <v>4</v>
      </c>
      <c r="B5" s="13"/>
      <c r="C5" s="13"/>
      <c r="D5" s="13"/>
      <c r="E5" s="13"/>
      <c r="F5" s="12">
        <f>COUNTIF(Run1_Groups!$C$2:$C$108,"="&amp;D5)+COUNTIF(Run1_Groups!$E$2:$E$108,"="&amp;D5)+COUNTIF(Run1_Groups!$G$2:$G$108,"="&amp;D5)</f>
        <v>310</v>
      </c>
      <c r="G5" s="12" t="e">
        <f>COUNTIF(#REF!,"="&amp;D5)+COUNTIF(#REF!,"="&amp;D5)+COUNTIF(#REF!,"="&amp;D5)+COUNTIF(#REF!,"="&amp;D5)</f>
        <v>#REF!</v>
      </c>
      <c r="H5" s="13">
        <f>IF(
  OR(
    IFERROR(VLOOKUP(D5,Run1_Groups!$C$2:$L$17,8,FALSE)="Submitted",0),
    IFERROR(VLOOKUP(D5,Run1_Groups!$E$2:$L$17,6,FALSE)="Submitted",0),
    IFERROR(VLOOKUP(D5,Run1_Groups!$G$2:$L$17,4,FALSE)="Submitted",0),
    IFERROR(VLOOKUP(D5,#REF!,10,FALSE)="Submitted",0),
    IFERROR(VLOOKUP(D5,#REF!,8,FALSE)="Submitted",0),
    IFERROR(VLOOKUP(D5,#REF!,6,FALSE)="Submitted",0),
    IFERROR(VLOOKUP(D5,#REF!,4,FALSE)="Submitted",0)
  ),
1,0)</f>
        <v>0</v>
      </c>
      <c r="J5" t="e">
        <f t="shared" si="0"/>
        <v>#REF!</v>
      </c>
    </row>
    <row r="6" spans="1:10">
      <c r="A6" s="2"/>
      <c r="B6" s="3"/>
      <c r="C6" s="3"/>
      <c r="D6" s="3"/>
      <c r="F6" s="2">
        <f>SUM(F2:F5)</f>
        <v>1240</v>
      </c>
      <c r="G6" s="2" t="e">
        <f>SUM(G2:G5)</f>
        <v>#REF!</v>
      </c>
      <c r="H6" s="14">
        <f>SUM(H2:H5)</f>
        <v>0</v>
      </c>
    </row>
    <row r="7" spans="1:10">
      <c r="I7" s="2" t="s">
        <v>83</v>
      </c>
      <c r="J7" s="2">
        <f>COUNTIF(J2:J5,"=0")</f>
        <v>0</v>
      </c>
    </row>
    <row r="8" spans="1:10"/>
    <row r="9" spans="1:10"/>
    <row r="10" spans="1:10"/>
    <row r="11" spans="1:10"/>
  </sheetData>
  <conditionalFormatting sqref="A2:H5">
    <cfRule type="expression" dxfId="2" priority="4" stopIfTrue="1">
      <formula>IF($H2=1,1,0)</formula>
    </cfRule>
    <cfRule type="expression" dxfId="1" priority="5" stopIfTrue="1">
      <formula>IF(OR($F2=1,$G2=1),1,0)</formula>
    </cfRule>
    <cfRule type="expression" dxfId="0" priority="6" stopIfTrue="1">
      <formula>IF($C2&lt;&gt;"",1,0)</formula>
    </cfRule>
  </conditionalFormatting>
  <conditionalFormatting sqref="F2:F5">
    <cfRule type="expression" priority="2" stopIfTrue="1">
      <formula>IF($G2=1,1,0)</formula>
    </cfRule>
  </conditionalFormatting>
  <conditionalFormatting sqref="G2:G5">
    <cfRule type="expression" priority="1" stopIfTrue="1">
      <formula>IF($F2=1,1,0)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30483F04E16AE4BB9A2476B7AE51F46" ma:contentTypeVersion="3" ma:contentTypeDescription="Create a new document." ma:contentTypeScope="" ma:versionID="5a72ea27e681a69c4d0d5982316adfd7">
  <xsd:schema xmlns:xsd="http://www.w3.org/2001/XMLSchema" xmlns:xs="http://www.w3.org/2001/XMLSchema" xmlns:p="http://schemas.microsoft.com/office/2006/metadata/properties" xmlns:ns2="b6e9f58d-29bf-470f-ad27-1d064eeab573" targetNamespace="http://schemas.microsoft.com/office/2006/metadata/properties" ma:root="true" ma:fieldsID="a1bcbd70063cd26abf8ecb51b2384f75" ns2:_="">
    <xsd:import namespace="b6e9f58d-29bf-470f-ad27-1d064eeab57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e9f58d-29bf-470f-ad27-1d064eeab5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51FA6E-E0D8-41CF-8314-1344D9C7730B}"/>
</file>

<file path=customXml/itemProps2.xml><?xml version="1.0" encoding="utf-8"?>
<ds:datastoreItem xmlns:ds="http://schemas.openxmlformats.org/officeDocument/2006/customXml" ds:itemID="{4CEBCEAB-2247-4DD3-A333-74B3D77EE186}"/>
</file>

<file path=customXml/itemProps3.xml><?xml version="1.0" encoding="utf-8"?>
<ds:datastoreItem xmlns:ds="http://schemas.openxmlformats.org/officeDocument/2006/customXml" ds:itemID="{FC50B990-FA5D-4087-94C2-4E591981FE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CHIA JIAOYAN, DEBBIE</cp:lastModifiedBy>
  <cp:revision/>
  <dcterms:created xsi:type="dcterms:W3CDTF">2025-07-17T11:43:58Z</dcterms:created>
  <dcterms:modified xsi:type="dcterms:W3CDTF">2025-11-28T06:30:17Z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68777-b54a-4424-86f5-98eef40f4a98_Enabled">
    <vt:lpwstr>true</vt:lpwstr>
  </property>
  <property fmtid="{D5CDD505-2E9C-101B-9397-08002B2CF9AE}" pid="3" name="MSIP_Label_03468777-b54a-4424-86f5-98eef40f4a98_SetDate">
    <vt:lpwstr>2025-07-18T04:24:10Z</vt:lpwstr>
  </property>
  <property fmtid="{D5CDD505-2E9C-101B-9397-08002B2CF9AE}" pid="4" name="MSIP_Label_03468777-b54a-4424-86f5-98eef40f4a98_Method">
    <vt:lpwstr>Privileged</vt:lpwstr>
  </property>
  <property fmtid="{D5CDD505-2E9C-101B-9397-08002B2CF9AE}" pid="5" name="MSIP_Label_03468777-b54a-4424-86f5-98eef40f4a98_Name">
    <vt:lpwstr>Official (Closed) - Non-Sensitive</vt:lpwstr>
  </property>
  <property fmtid="{D5CDD505-2E9C-101B-9397-08002B2CF9AE}" pid="6" name="MSIP_Label_03468777-b54a-4424-86f5-98eef40f4a98_SiteId">
    <vt:lpwstr>7604ff02-abd8-45db-8cac-550054323fc9</vt:lpwstr>
  </property>
  <property fmtid="{D5CDD505-2E9C-101B-9397-08002B2CF9AE}" pid="7" name="MSIP_Label_03468777-b54a-4424-86f5-98eef40f4a98_ActionId">
    <vt:lpwstr>40717499-f51e-4513-a14a-bafad17315d3</vt:lpwstr>
  </property>
  <property fmtid="{D5CDD505-2E9C-101B-9397-08002B2CF9AE}" pid="8" name="MSIP_Label_03468777-b54a-4424-86f5-98eef40f4a98_ContentBits">
    <vt:lpwstr>1</vt:lpwstr>
  </property>
  <property fmtid="{D5CDD505-2E9C-101B-9397-08002B2CF9AE}" pid="9" name="MSIP_Label_03468777-b54a-4424-86f5-98eef40f4a98_Tag">
    <vt:lpwstr>10, 0, 1, 1</vt:lpwstr>
  </property>
  <property fmtid="{D5CDD505-2E9C-101B-9397-08002B2CF9AE}" pid="10" name="ContentTypeId">
    <vt:lpwstr>0x010100230483F04E16AE4BB9A2476B7AE51F46</vt:lpwstr>
  </property>
  <property fmtid="{D5CDD505-2E9C-101B-9397-08002B2CF9AE}" pid="11" name="MediaServiceImageTags">
    <vt:lpwstr/>
  </property>
</Properties>
</file>